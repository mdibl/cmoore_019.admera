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nobrega/Downloads/"/>
    </mc:Choice>
  </mc:AlternateContent>
  <xr:revisionPtr revIDLastSave="0" documentId="8_{6938358B-6CE8-8B4C-A6CB-C62581D28E11}" xr6:coauthVersionLast="47" xr6:coauthVersionMax="47" xr10:uidLastSave="{00000000-0000-0000-0000-000000000000}"/>
  <bookViews>
    <workbookView xWindow="53860" yWindow="3600" windowWidth="35080" windowHeight="19820" activeTab="1" xr2:uid="{4FF6F1CE-9A21-9146-A775-560DBA43D8A8}"/>
  </bookViews>
  <sheets>
    <sheet name="by_timepoint_3d" sheetId="1" r:id="rId1"/>
    <sheet name="by_timepoint_5d" sheetId="2" r:id="rId2"/>
  </sheets>
  <definedNames>
    <definedName name="_xlnm._FilterDatabase" localSheetId="0" hidden="1">by_timepoint_3d!$A$3:$F$13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" i="1" l="1"/>
  <c r="O10" i="1"/>
  <c r="O7" i="1"/>
  <c r="O8" i="1"/>
  <c r="O4" i="1"/>
  <c r="O5" i="1"/>
  <c r="O11" i="1"/>
  <c r="O6" i="1"/>
  <c r="O9" i="1"/>
  <c r="F7" i="1"/>
  <c r="F6" i="1"/>
  <c r="F11" i="1"/>
  <c r="F13" i="1"/>
  <c r="F9" i="1"/>
  <c r="F10" i="1"/>
  <c r="F4" i="1"/>
  <c r="F5" i="1"/>
  <c r="F12" i="1"/>
  <c r="F8" i="1"/>
</calcChain>
</file>

<file path=xl/sharedStrings.xml><?xml version="1.0" encoding="utf-8"?>
<sst xmlns="http://schemas.openxmlformats.org/spreadsheetml/2006/main" count="293" uniqueCount="95">
  <si>
    <t>pas_usage</t>
  </si>
  <si>
    <t>padj  ≥ 0.05</t>
  </si>
  <si>
    <t>groupID</t>
  </si>
  <si>
    <t>featureID</t>
  </si>
  <si>
    <t>AP1S1</t>
  </si>
  <si>
    <t>chr7_+_101161275</t>
  </si>
  <si>
    <t>APMAP</t>
  </si>
  <si>
    <t>chr20_-_24962945</t>
  </si>
  <si>
    <t>B4GAT1</t>
  </si>
  <si>
    <t>chr11_-_66345375</t>
  </si>
  <si>
    <t>C4orf36</t>
  </si>
  <si>
    <t>chr4_-_86886798</t>
  </si>
  <si>
    <t>CDK9</t>
  </si>
  <si>
    <t>chr9_+_127790084</t>
  </si>
  <si>
    <t>FUT4</t>
  </si>
  <si>
    <t>chr11_+_94546597</t>
  </si>
  <si>
    <t>JHY</t>
  </si>
  <si>
    <t>chr11_+_122959721</t>
  </si>
  <si>
    <t>chr11_+_122961778</t>
  </si>
  <si>
    <t>MAFK</t>
  </si>
  <si>
    <t>chr7_+_1543042</t>
  </si>
  <si>
    <t>NR2C2</t>
  </si>
  <si>
    <t>chr3_+_15049271</t>
  </si>
  <si>
    <t>thin_counts</t>
  </si>
  <si>
    <t>gene_summary</t>
  </si>
  <si>
    <t xml:space="preserve">perGeneQ ≥ 0.05 </t>
  </si>
  <si>
    <t>n_PAS</t>
  </si>
  <si>
    <t>n_sig</t>
  </si>
  <si>
    <t>n_big</t>
  </si>
  <si>
    <t>single_dominant_site</t>
  </si>
  <si>
    <t>meanUsage_Control</t>
  </si>
  <si>
    <t>meanUsage_Treatment</t>
  </si>
  <si>
    <t>Delta Usage</t>
  </si>
  <si>
    <t>delta_wUTR</t>
  </si>
  <si>
    <t>abs(delta_wUTR)</t>
  </si>
  <si>
    <t>max_abs_delta_RED</t>
  </si>
  <si>
    <t>consistency_score</t>
  </si>
  <si>
    <t>Kathleen's candidates</t>
  </si>
  <si>
    <t>qPCR validation tracking - 3 days</t>
  </si>
  <si>
    <t>Gene</t>
  </si>
  <si>
    <t>Predicted 
(MAAPER)</t>
  </si>
  <si>
    <t>AKT2</t>
  </si>
  <si>
    <t>Shortened</t>
  </si>
  <si>
    <t>PAK1</t>
  </si>
  <si>
    <t>No change</t>
  </si>
  <si>
    <t>TGFBI</t>
  </si>
  <si>
    <t>IL20RA</t>
  </si>
  <si>
    <t>N/A</t>
  </si>
  <si>
    <t>VHL</t>
  </si>
  <si>
    <t>Lengthened</t>
  </si>
  <si>
    <t>VMP1</t>
  </si>
  <si>
    <t>NAV1</t>
  </si>
  <si>
    <t>NFYA</t>
  </si>
  <si>
    <t>FZD2</t>
  </si>
  <si>
    <t>FZD3</t>
  </si>
  <si>
    <t>DVL3</t>
  </si>
  <si>
    <t>MAP3K7</t>
  </si>
  <si>
    <t>CD44</t>
  </si>
  <si>
    <t>APC</t>
  </si>
  <si>
    <t>Increased</t>
  </si>
  <si>
    <t xml:space="preserve">Reason for exclusion (why it wouldn't make it into new candidate list, based on polyA DB 4 w/ new DEXseq outputs) </t>
  </si>
  <si>
    <t>No sig PASs</t>
  </si>
  <si>
    <r>
      <t>?, IL20R</t>
    </r>
    <r>
      <rPr>
        <b/>
        <sz val="12"/>
        <color theme="1"/>
        <rFont val="Aptos Narrow"/>
        <scheme val="minor"/>
      </rPr>
      <t>B</t>
    </r>
    <r>
      <rPr>
        <sz val="12"/>
        <color theme="1"/>
        <rFont val="Aptos Narrow"/>
        <scheme val="minor"/>
      </rPr>
      <t xml:space="preserve"> has No sig PASs</t>
    </r>
  </si>
  <si>
    <t>Included</t>
  </si>
  <si>
    <t>qPCR Validation</t>
  </si>
  <si>
    <t>FOSL1</t>
  </si>
  <si>
    <t>Wnt5A</t>
  </si>
  <si>
    <t>PRKCA</t>
  </si>
  <si>
    <t xml:space="preserve">Discordant? </t>
  </si>
  <si>
    <t>YES</t>
  </si>
  <si>
    <t>NO</t>
  </si>
  <si>
    <t>Thin counts = TRUE (primer was for PAS chr11:+:122959721)</t>
  </si>
  <si>
    <t>ZFTA</t>
  </si>
  <si>
    <t>ZNF26</t>
  </si>
  <si>
    <t>NPAS2</t>
  </si>
  <si>
    <t>RPRD1B</t>
  </si>
  <si>
    <t>PNPLA3</t>
  </si>
  <si>
    <t>NCAPG2</t>
  </si>
  <si>
    <t>ABCA1</t>
  </si>
  <si>
    <t>EIF2S3</t>
  </si>
  <si>
    <t>PAK2</t>
  </si>
  <si>
    <t>LCLAT1</t>
  </si>
  <si>
    <t>chr11_-_63759899</t>
  </si>
  <si>
    <t>chr12_+_133012567</t>
  </si>
  <si>
    <t>chr2_+_100996052</t>
  </si>
  <si>
    <t>chr20_+_38092359</t>
  </si>
  <si>
    <t>chr22_+_43947083</t>
  </si>
  <si>
    <t>chr7_-_158631314</t>
  </si>
  <si>
    <t>chr9_-_104781116</t>
  </si>
  <si>
    <t>chrX_+_24078407</t>
  </si>
  <si>
    <t>chr3_+_196830746</t>
  </si>
  <si>
    <t>chr2_+_30644057</t>
  </si>
  <si>
    <t>3.77201916185734e-05</t>
  </si>
  <si>
    <t>qPCR validation tracking - 5 days</t>
  </si>
  <si>
    <t>WNT5A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</si>
</sst>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  <font>
      <b/>
      <sz val="12"/>
      <color theme="9" tint="-0.249977111117893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0" fontId="2" fillId="0" borderId="0" xfId="0" applyFont="1" applyFill="1"/>
    <xf numFmtId="0" fontId="5" fillId="2" borderId="0" xfId="0" applyFont="1" applyFill="1"/>
    <xf numFmtId="0" fontId="5" fillId="0" borderId="0" xfId="0" applyFont="1" applyFill="1"/>
    <xf numFmtId="0" fontId="5" fillId="0" borderId="0" xfId="0" applyFont="1"/>
    <xf numFmtId="0" fontId="0" fillId="0" borderId="0" xfId="0" quotePrefix="1"/>
    <xf numFmtId="0" fontId="7" fillId="0" borderId="0" xfId="0" applyFont="1"/>
    <xf numFmtId="0" fontId="7" fillId="2" borderId="0" xfId="0" applyFont="1" applyFill="1"/>
    <xf numFmtId="0" fontId="0" fillId="0" borderId="0" xfId="0" applyBorder="1"/>
    <xf numFmtId="0" fontId="6" fillId="0" borderId="0" xfId="0" applyFont="1"/>
  </cellXfs>
  <cellStyles count="1">
    <cellStyle name="Normal" xfId="0" builtinId="0"/>
  </cellStyles>
  <dxfs count="2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6F35-1D74-C847-B5DB-01CD021E547E}">
  <dimension ref="A1:P37"/>
  <sheetViews>
    <sheetView workbookViewId="0">
      <selection activeCell="E40" sqref="E40"/>
    </sheetView>
  </sheetViews>
  <sheetFormatPr baseColWidth="10" defaultRowHeight="16"/>
  <cols>
    <col min="1" max="1" width="10.1640625" customWidth="1"/>
    <col min="2" max="2" width="17.6640625" bestFit="1" customWidth="1"/>
    <col min="3" max="3" width="14.5" bestFit="1" customWidth="1"/>
    <col min="4" max="4" width="12.5" customWidth="1"/>
    <col min="5" max="5" width="20.5" bestFit="1" customWidth="1"/>
    <col min="6" max="6" width="12.1640625" bestFit="1" customWidth="1"/>
    <col min="7" max="7" width="12.1640625" customWidth="1"/>
  </cols>
  <sheetData>
    <row r="1" spans="1:16">
      <c r="A1" s="1" t="s">
        <v>0</v>
      </c>
      <c r="I1" s="1" t="s">
        <v>24</v>
      </c>
    </row>
    <row r="2" spans="1:16">
      <c r="A2" s="1" t="s">
        <v>1</v>
      </c>
      <c r="I2" s="1" t="s">
        <v>25</v>
      </c>
    </row>
    <row r="3" spans="1:16">
      <c r="A3" s="1" t="s">
        <v>2</v>
      </c>
      <c r="B3" s="1" t="s">
        <v>3</v>
      </c>
      <c r="C3" s="1" t="s">
        <v>23</v>
      </c>
      <c r="D3" s="1" t="s">
        <v>30</v>
      </c>
      <c r="E3" s="1" t="s">
        <v>31</v>
      </c>
      <c r="F3" s="1" t="s">
        <v>32</v>
      </c>
      <c r="G3" s="1" t="s">
        <v>36</v>
      </c>
      <c r="I3" s="1" t="s">
        <v>2</v>
      </c>
      <c r="J3" s="1" t="s">
        <v>26</v>
      </c>
      <c r="K3" s="1" t="s">
        <v>27</v>
      </c>
      <c r="L3" s="1" t="s">
        <v>28</v>
      </c>
      <c r="M3" s="1" t="s">
        <v>29</v>
      </c>
      <c r="N3" t="s">
        <v>33</v>
      </c>
      <c r="O3" s="1" t="s">
        <v>34</v>
      </c>
      <c r="P3" s="1" t="s">
        <v>35</v>
      </c>
    </row>
    <row r="4" spans="1:16">
      <c r="A4" s="9" t="s">
        <v>16</v>
      </c>
      <c r="B4" s="4" t="s">
        <v>18</v>
      </c>
      <c r="C4" s="4" t="b">
        <v>0</v>
      </c>
      <c r="D4" s="4">
        <v>0.25711239402922997</v>
      </c>
      <c r="E4" s="4">
        <v>0.72607897397690402</v>
      </c>
      <c r="F4" s="4">
        <f>ABS(E4 - D4)</f>
        <v>0.46896657994767404</v>
      </c>
      <c r="G4">
        <v>25.046437084011469</v>
      </c>
      <c r="I4" s="9" t="s">
        <v>14</v>
      </c>
      <c r="J4" s="2">
        <v>2</v>
      </c>
      <c r="K4" s="2">
        <v>1</v>
      </c>
      <c r="L4" s="2">
        <v>1</v>
      </c>
      <c r="M4" s="2" t="b">
        <v>0</v>
      </c>
      <c r="N4">
        <v>1369.7105679404799</v>
      </c>
      <c r="O4">
        <f>ABS(N4)</f>
        <v>1369.7105679404799</v>
      </c>
      <c r="P4">
        <v>2.4880983624389699</v>
      </c>
    </row>
    <row r="5" spans="1:16">
      <c r="A5" s="10" t="s">
        <v>16</v>
      </c>
      <c r="B5" s="3" t="s">
        <v>17</v>
      </c>
      <c r="C5" s="3" t="b">
        <v>1</v>
      </c>
      <c r="D5" s="3">
        <v>0.733083684402143</v>
      </c>
      <c r="E5" s="3">
        <v>0.172050449683359</v>
      </c>
      <c r="F5" s="8">
        <f>ABS(E5 - D5)</f>
        <v>0.56103323471878397</v>
      </c>
      <c r="G5">
        <v>19.966705316757583</v>
      </c>
      <c r="I5" s="9" t="s">
        <v>16</v>
      </c>
      <c r="J5" s="2">
        <v>3</v>
      </c>
      <c r="K5" s="2">
        <v>2</v>
      </c>
      <c r="L5" s="2">
        <v>2</v>
      </c>
      <c r="M5" s="2" t="b">
        <v>0</v>
      </c>
      <c r="N5">
        <v>-772.613213099831</v>
      </c>
      <c r="O5">
        <f>ABS(N5)</f>
        <v>772.613213099831</v>
      </c>
      <c r="P5">
        <v>3.5405897485826201</v>
      </c>
    </row>
    <row r="6" spans="1:16">
      <c r="A6" s="6" t="s">
        <v>6</v>
      </c>
      <c r="B6" s="4" t="s">
        <v>7</v>
      </c>
      <c r="C6" s="4" t="b">
        <v>0</v>
      </c>
      <c r="D6" s="4">
        <v>0.99689201125378502</v>
      </c>
      <c r="E6" s="4">
        <v>0.99975043673571296</v>
      </c>
      <c r="F6" s="4">
        <f>ABS(E6 - D6)</f>
        <v>2.8584254819279398E-3</v>
      </c>
      <c r="G6">
        <v>13.667284531351298</v>
      </c>
      <c r="I6" s="9" t="s">
        <v>21</v>
      </c>
      <c r="J6" s="2">
        <v>4</v>
      </c>
      <c r="K6" s="2">
        <v>1</v>
      </c>
      <c r="L6" s="2">
        <v>0</v>
      </c>
      <c r="M6" s="2" t="b">
        <v>0</v>
      </c>
      <c r="N6">
        <v>615.244207930127</v>
      </c>
      <c r="O6">
        <f>ABS(N6)</f>
        <v>615.244207930127</v>
      </c>
      <c r="P6">
        <v>3.1405847150211801</v>
      </c>
    </row>
    <row r="7" spans="1:16">
      <c r="A7" s="5" t="s">
        <v>4</v>
      </c>
      <c r="B7" s="4" t="s">
        <v>5</v>
      </c>
      <c r="C7" s="4" t="b">
        <v>0</v>
      </c>
      <c r="D7" s="4">
        <v>0.99134093977258697</v>
      </c>
      <c r="E7" s="4">
        <v>0.95022449773469397</v>
      </c>
      <c r="F7" s="4">
        <f>ABS(E7 - D7)</f>
        <v>4.1116442037892997E-2</v>
      </c>
      <c r="G7">
        <v>12.664872505307335</v>
      </c>
      <c r="I7" s="9" t="s">
        <v>10</v>
      </c>
      <c r="J7" s="2">
        <v>2</v>
      </c>
      <c r="K7" s="2">
        <v>1</v>
      </c>
      <c r="L7" s="2">
        <v>1</v>
      </c>
      <c r="M7" s="2" t="b">
        <v>0</v>
      </c>
      <c r="N7">
        <v>94.642424242424198</v>
      </c>
      <c r="O7">
        <f>ABS(N7)</f>
        <v>94.642424242424198</v>
      </c>
      <c r="P7">
        <v>3.9602472495690599</v>
      </c>
    </row>
    <row r="8" spans="1:16">
      <c r="A8" s="9" t="s">
        <v>21</v>
      </c>
      <c r="B8" s="4" t="s">
        <v>22</v>
      </c>
      <c r="C8" s="4" t="b">
        <v>0</v>
      </c>
      <c r="D8" s="4">
        <v>0.85387249256595299</v>
      </c>
      <c r="E8" s="4">
        <v>0.95467698981073501</v>
      </c>
      <c r="F8" s="4">
        <f>ABS(E8 - D8)</f>
        <v>0.10080449724478202</v>
      </c>
      <c r="G8">
        <v>10.631177682321709</v>
      </c>
      <c r="I8" s="9" t="s">
        <v>12</v>
      </c>
      <c r="J8" s="2">
        <v>2</v>
      </c>
      <c r="K8" s="2">
        <v>1</v>
      </c>
      <c r="L8" s="2">
        <v>1</v>
      </c>
      <c r="M8" s="2" t="b">
        <v>0</v>
      </c>
      <c r="N8">
        <v>15.5083669622262</v>
      </c>
      <c r="O8">
        <f>ABS(N8)</f>
        <v>15.5083669622262</v>
      </c>
      <c r="P8">
        <v>3.0943284964209701</v>
      </c>
    </row>
    <row r="9" spans="1:16">
      <c r="A9" s="9" t="s">
        <v>12</v>
      </c>
      <c r="B9" s="4" t="s">
        <v>13</v>
      </c>
      <c r="C9" s="4" t="b">
        <v>0</v>
      </c>
      <c r="D9" s="4">
        <v>0.78816175532593402</v>
      </c>
      <c r="E9" s="4">
        <v>0.97728818169454601</v>
      </c>
      <c r="F9" s="4">
        <f>ABS(E9 - D9)</f>
        <v>0.18912642636861199</v>
      </c>
      <c r="G9">
        <v>9.7732370472749892</v>
      </c>
      <c r="I9" s="7" t="s">
        <v>4</v>
      </c>
      <c r="J9">
        <v>2</v>
      </c>
      <c r="K9">
        <v>1</v>
      </c>
      <c r="L9">
        <v>0</v>
      </c>
      <c r="M9" t="b">
        <v>1</v>
      </c>
      <c r="N9">
        <v>-14.801919133641601</v>
      </c>
      <c r="O9">
        <f>ABS(N9)</f>
        <v>14.801919133641601</v>
      </c>
      <c r="P9">
        <v>4.2520175827143802</v>
      </c>
    </row>
    <row r="10" spans="1:16">
      <c r="A10" s="10" t="s">
        <v>14</v>
      </c>
      <c r="B10" s="3" t="s">
        <v>15</v>
      </c>
      <c r="C10" s="3" t="b">
        <v>1</v>
      </c>
      <c r="D10" s="3">
        <v>0.97777777777777797</v>
      </c>
      <c r="E10" s="3">
        <v>0.56195793322996901</v>
      </c>
      <c r="F10" s="8">
        <f>ABS(E10 - D10)</f>
        <v>0.41581984454780896</v>
      </c>
      <c r="G10">
        <v>9.6066694686546636</v>
      </c>
      <c r="I10" s="7" t="s">
        <v>8</v>
      </c>
      <c r="J10">
        <v>2</v>
      </c>
      <c r="K10">
        <v>1</v>
      </c>
      <c r="L10">
        <v>0</v>
      </c>
      <c r="M10" t="b">
        <v>1</v>
      </c>
      <c r="N10">
        <v>-13.8884089515188</v>
      </c>
      <c r="O10">
        <f>ABS(N10)</f>
        <v>13.8884089515188</v>
      </c>
      <c r="P10">
        <v>3.6389507144959499</v>
      </c>
    </row>
    <row r="11" spans="1:16">
      <c r="A11" s="5" t="s">
        <v>8</v>
      </c>
      <c r="B11" s="4" t="s">
        <v>9</v>
      </c>
      <c r="C11" s="4" t="b">
        <v>0</v>
      </c>
      <c r="D11" s="4">
        <v>0.99519762299613002</v>
      </c>
      <c r="E11" s="4">
        <v>0.95323868356555996</v>
      </c>
      <c r="F11" s="4">
        <f>ABS(E11 - D11)</f>
        <v>4.1958939430570052E-2</v>
      </c>
      <c r="G11">
        <v>5.660077731487748</v>
      </c>
      <c r="I11" s="7" t="s">
        <v>19</v>
      </c>
      <c r="J11">
        <v>2</v>
      </c>
      <c r="K11">
        <v>1</v>
      </c>
      <c r="L11">
        <v>1</v>
      </c>
      <c r="M11" t="b">
        <v>1</v>
      </c>
      <c r="N11">
        <v>-2.0488880104177798</v>
      </c>
      <c r="O11">
        <f>ABS(N11)</f>
        <v>2.0488880104177798</v>
      </c>
      <c r="P11">
        <v>2.4270456695154201</v>
      </c>
    </row>
    <row r="12" spans="1:16">
      <c r="A12" s="6" t="s">
        <v>19</v>
      </c>
      <c r="B12" s="4" t="s">
        <v>20</v>
      </c>
      <c r="C12" s="4" t="b">
        <v>0</v>
      </c>
      <c r="D12" s="4">
        <v>0.99673280512953999</v>
      </c>
      <c r="E12" s="4">
        <v>0.98109243863780105</v>
      </c>
      <c r="F12" s="4">
        <f>ABS(E12 - D12)</f>
        <v>1.5640366491738944E-2</v>
      </c>
      <c r="G12">
        <v>4.0027152990415669</v>
      </c>
      <c r="I12" s="7" t="s">
        <v>6</v>
      </c>
      <c r="J12">
        <v>2</v>
      </c>
      <c r="K12">
        <v>1</v>
      </c>
      <c r="L12">
        <v>0</v>
      </c>
      <c r="M12" t="b">
        <v>1</v>
      </c>
      <c r="N12">
        <v>1.7379226930121401</v>
      </c>
      <c r="O12">
        <f>ABS(N12)</f>
        <v>1.7379226930121401</v>
      </c>
      <c r="P12">
        <v>2.4247016633839</v>
      </c>
    </row>
    <row r="13" spans="1:16">
      <c r="A13" s="9" t="s">
        <v>10</v>
      </c>
      <c r="B13" s="4" t="s">
        <v>11</v>
      </c>
      <c r="C13" s="4" t="b">
        <v>0</v>
      </c>
      <c r="D13" s="4">
        <v>0.79494949494949496</v>
      </c>
      <c r="E13" s="4">
        <v>0.97979797979798</v>
      </c>
      <c r="F13" s="4">
        <f>ABS(E13 - D13)</f>
        <v>0.18484848484848504</v>
      </c>
      <c r="G13">
        <v>2.0779190143606341</v>
      </c>
    </row>
    <row r="16" spans="1:16">
      <c r="A16" s="1" t="s">
        <v>37</v>
      </c>
    </row>
    <row r="17" spans="1:6">
      <c r="A17" s="1" t="s">
        <v>38</v>
      </c>
      <c r="B17" s="1"/>
      <c r="C17" s="1"/>
    </row>
    <row r="18" spans="1:6">
      <c r="A18" s="1" t="s">
        <v>39</v>
      </c>
      <c r="B18" s="1" t="s">
        <v>40</v>
      </c>
      <c r="C18" s="1" t="s">
        <v>64</v>
      </c>
      <c r="D18" s="1" t="s">
        <v>68</v>
      </c>
      <c r="E18" s="1" t="s">
        <v>60</v>
      </c>
      <c r="F18" s="1"/>
    </row>
    <row r="19" spans="1:6">
      <c r="A19" t="s">
        <v>41</v>
      </c>
      <c r="B19" t="s">
        <v>42</v>
      </c>
      <c r="C19" t="s">
        <v>44</v>
      </c>
      <c r="D19" s="1" t="s">
        <v>69</v>
      </c>
      <c r="E19" t="s">
        <v>61</v>
      </c>
    </row>
    <row r="20" spans="1:6">
      <c r="A20" t="s">
        <v>43</v>
      </c>
      <c r="B20" t="s">
        <v>44</v>
      </c>
      <c r="C20" t="s">
        <v>44</v>
      </c>
      <c r="D20" t="s">
        <v>70</v>
      </c>
      <c r="E20" t="s">
        <v>61</v>
      </c>
    </row>
    <row r="21" spans="1:6">
      <c r="A21" t="s">
        <v>45</v>
      </c>
      <c r="B21" t="s">
        <v>44</v>
      </c>
      <c r="C21" t="s">
        <v>44</v>
      </c>
      <c r="D21" t="s">
        <v>70</v>
      </c>
      <c r="E21" t="s">
        <v>61</v>
      </c>
    </row>
    <row r="22" spans="1:6">
      <c r="A22" t="s">
        <v>46</v>
      </c>
      <c r="B22" t="s">
        <v>47</v>
      </c>
      <c r="C22" t="s">
        <v>44</v>
      </c>
      <c r="D22" s="1" t="s">
        <v>69</v>
      </c>
      <c r="E22" t="s">
        <v>62</v>
      </c>
    </row>
    <row r="23" spans="1:6">
      <c r="A23" s="11" t="s">
        <v>16</v>
      </c>
      <c r="B23" t="s">
        <v>42</v>
      </c>
      <c r="C23" t="s">
        <v>44</v>
      </c>
      <c r="D23" s="1" t="s">
        <v>69</v>
      </c>
      <c r="E23" s="1" t="s">
        <v>63</v>
      </c>
      <c r="F23" t="s">
        <v>71</v>
      </c>
    </row>
    <row r="24" spans="1:6">
      <c r="A24" t="s">
        <v>48</v>
      </c>
      <c r="B24" t="s">
        <v>49</v>
      </c>
      <c r="C24" t="s">
        <v>44</v>
      </c>
      <c r="D24" s="1" t="s">
        <v>69</v>
      </c>
      <c r="E24" t="s">
        <v>61</v>
      </c>
    </row>
    <row r="25" spans="1:6">
      <c r="A25" s="11" t="s">
        <v>14</v>
      </c>
      <c r="B25" t="s">
        <v>49</v>
      </c>
      <c r="C25" t="s">
        <v>49</v>
      </c>
      <c r="D25" t="s">
        <v>70</v>
      </c>
      <c r="E25" s="1" t="s">
        <v>63</v>
      </c>
    </row>
    <row r="26" spans="1:6">
      <c r="A26" t="s">
        <v>50</v>
      </c>
      <c r="B26" t="s">
        <v>49</v>
      </c>
      <c r="C26" t="s">
        <v>49</v>
      </c>
      <c r="D26" t="s">
        <v>70</v>
      </c>
      <c r="E26" t="s">
        <v>61</v>
      </c>
    </row>
    <row r="27" spans="1:6">
      <c r="A27" t="s">
        <v>51</v>
      </c>
      <c r="B27" t="s">
        <v>49</v>
      </c>
      <c r="C27" t="s">
        <v>49</v>
      </c>
      <c r="D27" t="s">
        <v>70</v>
      </c>
      <c r="E27" t="s">
        <v>61</v>
      </c>
    </row>
    <row r="28" spans="1:6">
      <c r="A28" t="s">
        <v>52</v>
      </c>
      <c r="B28" t="s">
        <v>49</v>
      </c>
      <c r="C28" t="s">
        <v>49</v>
      </c>
      <c r="D28" t="s">
        <v>70</v>
      </c>
      <c r="E28" t="s">
        <v>61</v>
      </c>
    </row>
    <row r="29" spans="1:6">
      <c r="A29" t="s">
        <v>53</v>
      </c>
      <c r="B29" t="s">
        <v>49</v>
      </c>
      <c r="C29" t="s">
        <v>49</v>
      </c>
      <c r="D29" t="s">
        <v>70</v>
      </c>
      <c r="E29" t="s">
        <v>61</v>
      </c>
    </row>
    <row r="30" spans="1:6">
      <c r="A30" t="s">
        <v>54</v>
      </c>
      <c r="B30" t="s">
        <v>44</v>
      </c>
      <c r="C30" t="s">
        <v>44</v>
      </c>
      <c r="D30" t="s">
        <v>70</v>
      </c>
      <c r="E30" t="s">
        <v>61</v>
      </c>
    </row>
    <row r="31" spans="1:6">
      <c r="A31" t="s">
        <v>55</v>
      </c>
      <c r="B31" t="s">
        <v>44</v>
      </c>
      <c r="C31" t="s">
        <v>49</v>
      </c>
      <c r="D31" s="1" t="s">
        <v>69</v>
      </c>
      <c r="E31" t="s">
        <v>61</v>
      </c>
    </row>
    <row r="32" spans="1:6">
      <c r="A32" t="s">
        <v>56</v>
      </c>
      <c r="B32" t="s">
        <v>44</v>
      </c>
      <c r="C32" t="s">
        <v>42</v>
      </c>
      <c r="D32" s="1" t="s">
        <v>69</v>
      </c>
      <c r="E32" t="s">
        <v>61</v>
      </c>
    </row>
    <row r="33" spans="1:5">
      <c r="A33" t="s">
        <v>57</v>
      </c>
      <c r="B33" t="s">
        <v>49</v>
      </c>
      <c r="C33" t="s">
        <v>49</v>
      </c>
      <c r="D33" t="s">
        <v>70</v>
      </c>
      <c r="E33" t="s">
        <v>61</v>
      </c>
    </row>
    <row r="34" spans="1:5">
      <c r="A34" t="s">
        <v>58</v>
      </c>
      <c r="B34" t="s">
        <v>49</v>
      </c>
      <c r="C34" t="s">
        <v>49</v>
      </c>
      <c r="D34" t="s">
        <v>70</v>
      </c>
      <c r="E34" t="s">
        <v>61</v>
      </c>
    </row>
    <row r="35" spans="1:5">
      <c r="A35" t="s">
        <v>65</v>
      </c>
      <c r="B35" t="s">
        <v>49</v>
      </c>
      <c r="C35" t="s">
        <v>49</v>
      </c>
      <c r="D35" t="s">
        <v>70</v>
      </c>
      <c r="E35" t="s">
        <v>61</v>
      </c>
    </row>
    <row r="36" spans="1:5">
      <c r="A36" t="s">
        <v>66</v>
      </c>
      <c r="B36" t="s">
        <v>42</v>
      </c>
      <c r="C36" t="s">
        <v>49</v>
      </c>
      <c r="D36" s="1" t="s">
        <v>69</v>
      </c>
      <c r="E36" t="s">
        <v>61</v>
      </c>
    </row>
    <row r="37" spans="1:5">
      <c r="A37" t="s">
        <v>67</v>
      </c>
      <c r="B37" t="s">
        <v>49</v>
      </c>
      <c r="C37" t="s">
        <v>49</v>
      </c>
      <c r="D37" t="s">
        <v>70</v>
      </c>
      <c r="E37" t="s">
        <v>61</v>
      </c>
    </row>
  </sheetData>
  <autoFilter ref="A3:F13" xr:uid="{1AE96F35-1D74-C847-B5DB-01CD021E547E}">
    <sortState xmlns:xlrd2="http://schemas.microsoft.com/office/spreadsheetml/2017/richdata2" ref="A4:F13">
      <sortCondition ref="A4:A13"/>
      <sortCondition descending="1" ref="F4:F13"/>
    </sortState>
  </autoFilter>
  <sortState xmlns:xlrd2="http://schemas.microsoft.com/office/spreadsheetml/2017/richdata2" ref="A4:G13">
    <sortCondition descending="1" ref="G4:G1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AEC2-A903-244F-A7B3-6F0071E236F5}">
  <dimension ref="A1:P40"/>
  <sheetViews>
    <sheetView tabSelected="1" workbookViewId="0">
      <selection activeCell="J13" sqref="J13"/>
    </sheetView>
  </sheetViews>
  <sheetFormatPr baseColWidth="10" defaultRowHeight="16"/>
  <cols>
    <col min="2" max="2" width="18.33203125" bestFit="1" customWidth="1"/>
    <col min="3" max="3" width="14.5" bestFit="1" customWidth="1"/>
  </cols>
  <sheetData>
    <row r="1" spans="1:16">
      <c r="A1" s="1" t="s">
        <v>0</v>
      </c>
      <c r="I1" s="1" t="s">
        <v>24</v>
      </c>
    </row>
    <row r="2" spans="1:16">
      <c r="A2" s="1" t="s">
        <v>1</v>
      </c>
      <c r="I2" s="1" t="s">
        <v>25</v>
      </c>
    </row>
    <row r="3" spans="1:16">
      <c r="A3" s="1" t="s">
        <v>2</v>
      </c>
      <c r="B3" s="1" t="s">
        <v>3</v>
      </c>
      <c r="C3" s="1" t="s">
        <v>23</v>
      </c>
      <c r="D3" s="1" t="s">
        <v>30</v>
      </c>
      <c r="E3" s="1" t="s">
        <v>31</v>
      </c>
      <c r="F3" s="1" t="s">
        <v>32</v>
      </c>
      <c r="G3" s="1" t="s">
        <v>36</v>
      </c>
      <c r="I3" s="1" t="s">
        <v>2</v>
      </c>
      <c r="J3" s="1" t="s">
        <v>26</v>
      </c>
      <c r="K3" s="1" t="s">
        <v>27</v>
      </c>
      <c r="L3" s="1" t="s">
        <v>28</v>
      </c>
      <c r="M3" s="1" t="s">
        <v>29</v>
      </c>
      <c r="N3" t="s">
        <v>33</v>
      </c>
      <c r="O3" s="1" t="s">
        <v>34</v>
      </c>
      <c r="P3" s="1" t="s">
        <v>35</v>
      </c>
    </row>
    <row r="4" spans="1:16">
      <c r="A4" s="9" t="s">
        <v>73</v>
      </c>
      <c r="B4" s="2" t="s">
        <v>83</v>
      </c>
      <c r="C4" s="2" t="b">
        <v>0</v>
      </c>
      <c r="D4" s="2">
        <v>0.85773483449855203</v>
      </c>
      <c r="E4" s="2">
        <v>0.43023405349794203</v>
      </c>
      <c r="F4" s="2">
        <v>0.42750078100061001</v>
      </c>
      <c r="G4" s="2">
        <v>14.485691265241719</v>
      </c>
      <c r="I4" s="2" t="s">
        <v>74</v>
      </c>
      <c r="J4" s="14">
        <v>4</v>
      </c>
      <c r="K4" s="14">
        <v>1</v>
      </c>
      <c r="L4" s="14">
        <v>1</v>
      </c>
      <c r="M4" s="2" t="b">
        <v>0</v>
      </c>
      <c r="N4" s="2">
        <v>357.62575994124001</v>
      </c>
      <c r="O4" s="2">
        <v>357.62575994124001</v>
      </c>
      <c r="P4" s="2">
        <v>3.4497103649372698</v>
      </c>
    </row>
    <row r="5" spans="1:16">
      <c r="A5" s="9" t="s">
        <v>72</v>
      </c>
      <c r="B5" s="2" t="s">
        <v>82</v>
      </c>
      <c r="C5" s="2" t="b">
        <v>0</v>
      </c>
      <c r="D5" s="2">
        <v>0.93497344908725799</v>
      </c>
      <c r="E5" s="2">
        <v>0.99283858277845205</v>
      </c>
      <c r="F5" s="2">
        <v>5.7865133691194059E-2</v>
      </c>
      <c r="G5" s="2">
        <v>7.0249382325643897</v>
      </c>
      <c r="I5" s="2" t="s">
        <v>76</v>
      </c>
      <c r="J5" s="14">
        <v>2</v>
      </c>
      <c r="K5" s="14">
        <v>1</v>
      </c>
      <c r="L5" s="14">
        <v>1</v>
      </c>
      <c r="M5" s="2" t="b">
        <v>0</v>
      </c>
      <c r="N5" s="2">
        <v>44.101217548746099</v>
      </c>
      <c r="O5" s="2">
        <v>44.101217548746099</v>
      </c>
      <c r="P5" s="2">
        <v>4.57377348484086</v>
      </c>
    </row>
    <row r="6" spans="1:16">
      <c r="A6" s="5" t="s">
        <v>77</v>
      </c>
      <c r="B6" s="2" t="s">
        <v>87</v>
      </c>
      <c r="C6" s="2" t="b">
        <v>0</v>
      </c>
      <c r="D6" s="2">
        <v>0.99940584888183104</v>
      </c>
      <c r="E6" s="2">
        <v>0.98432770645415602</v>
      </c>
      <c r="F6" s="2">
        <v>1.5078142427675023E-2</v>
      </c>
      <c r="G6" s="2">
        <v>3.8835758761874071</v>
      </c>
      <c r="I6" s="9" t="s">
        <v>73</v>
      </c>
      <c r="J6" s="14">
        <v>3</v>
      </c>
      <c r="K6" s="14">
        <v>1</v>
      </c>
      <c r="L6" s="14">
        <v>1</v>
      </c>
      <c r="M6" s="2" t="b">
        <v>0</v>
      </c>
      <c r="N6" s="2">
        <v>3120.2120069500102</v>
      </c>
      <c r="O6" s="2">
        <v>3120.2120069500102</v>
      </c>
      <c r="P6" s="2">
        <v>3.0223029967340498</v>
      </c>
    </row>
    <row r="7" spans="1:16">
      <c r="A7" s="5" t="s">
        <v>75</v>
      </c>
      <c r="B7" s="2" t="s">
        <v>85</v>
      </c>
      <c r="C7" s="2" t="b">
        <v>0</v>
      </c>
      <c r="D7" s="2">
        <v>0.99064327485380099</v>
      </c>
      <c r="E7" s="2">
        <v>0.99969502897224805</v>
      </c>
      <c r="F7" s="2">
        <v>9.0517541184470529E-3</v>
      </c>
      <c r="G7" s="2">
        <v>1.8737401705616474</v>
      </c>
      <c r="I7" s="2" t="s">
        <v>78</v>
      </c>
      <c r="J7" s="14">
        <v>3</v>
      </c>
      <c r="K7" s="14">
        <v>1</v>
      </c>
      <c r="L7" s="14">
        <v>1</v>
      </c>
      <c r="M7" s="2" t="b">
        <v>0</v>
      </c>
      <c r="N7" s="2">
        <v>14.4794543387647</v>
      </c>
      <c r="O7" s="2">
        <v>14.4794543387647</v>
      </c>
      <c r="P7" s="2">
        <v>4.2674458943916598</v>
      </c>
    </row>
    <row r="8" spans="1:16">
      <c r="A8" t="s">
        <v>74</v>
      </c>
      <c r="B8" t="s">
        <v>84</v>
      </c>
      <c r="C8" t="b">
        <v>1</v>
      </c>
      <c r="D8">
        <v>0.66318539847951596</v>
      </c>
      <c r="E8">
        <v>0.183625730994152</v>
      </c>
      <c r="F8">
        <v>0.47955966748536394</v>
      </c>
      <c r="G8">
        <v>10.088846852611418</v>
      </c>
      <c r="I8" s="2" t="s">
        <v>79</v>
      </c>
      <c r="J8" s="14">
        <v>6</v>
      </c>
      <c r="K8" s="14">
        <v>1</v>
      </c>
      <c r="L8" s="14">
        <v>1</v>
      </c>
      <c r="M8" s="2" t="b">
        <v>0</v>
      </c>
      <c r="N8" s="2">
        <v>107.58187714570499</v>
      </c>
      <c r="O8" s="2">
        <v>107.58187714570499</v>
      </c>
      <c r="P8" s="2">
        <v>5.5462262358101899</v>
      </c>
    </row>
    <row r="9" spans="1:16">
      <c r="A9" t="s">
        <v>76</v>
      </c>
      <c r="B9" t="s">
        <v>86</v>
      </c>
      <c r="C9" t="b">
        <v>1</v>
      </c>
      <c r="D9">
        <v>0.36853832442067702</v>
      </c>
      <c r="E9">
        <v>0.92678158453138804</v>
      </c>
      <c r="F9">
        <v>0.55824326011071101</v>
      </c>
      <c r="G9">
        <v>7.2729797760944157</v>
      </c>
      <c r="I9" s="9" t="s">
        <v>72</v>
      </c>
      <c r="J9" s="14">
        <v>2</v>
      </c>
      <c r="K9" s="14">
        <v>1</v>
      </c>
      <c r="L9" s="14">
        <v>1</v>
      </c>
      <c r="M9" s="2" t="b">
        <v>0</v>
      </c>
      <c r="N9" s="2">
        <v>34.140428877804197</v>
      </c>
      <c r="O9" s="2">
        <v>34.140428877804197</v>
      </c>
      <c r="P9" s="2">
        <v>3.210969619433</v>
      </c>
    </row>
    <row r="10" spans="1:16">
      <c r="A10" t="s">
        <v>78</v>
      </c>
      <c r="B10" t="s">
        <v>88</v>
      </c>
      <c r="C10" t="b">
        <v>1</v>
      </c>
      <c r="D10">
        <v>4.4444444444444398E-2</v>
      </c>
      <c r="E10">
        <v>0.67371226474674795</v>
      </c>
      <c r="F10">
        <v>0.62926782030230355</v>
      </c>
      <c r="G10">
        <v>9.4406812003752467</v>
      </c>
      <c r="I10" s="2" t="s">
        <v>80</v>
      </c>
      <c r="J10" s="14">
        <v>12</v>
      </c>
      <c r="K10" s="14">
        <v>1</v>
      </c>
      <c r="L10" s="14">
        <v>1</v>
      </c>
      <c r="M10" s="2" t="b">
        <v>0</v>
      </c>
      <c r="N10" s="2">
        <v>180.92666347442901</v>
      </c>
      <c r="O10" s="2">
        <v>180.92666347442901</v>
      </c>
      <c r="P10" s="2">
        <v>4.7804769905529998</v>
      </c>
    </row>
    <row r="11" spans="1:16">
      <c r="A11" t="s">
        <v>79</v>
      </c>
      <c r="B11" t="s">
        <v>89</v>
      </c>
      <c r="C11" t="b">
        <v>1</v>
      </c>
      <c r="D11" s="12" t="s">
        <v>92</v>
      </c>
      <c r="E11">
        <v>2.6762867941015401E-3</v>
      </c>
      <c r="F11">
        <v>2.6385666024829669E-3</v>
      </c>
      <c r="G11">
        <v>3.2893207770139243</v>
      </c>
      <c r="I11" s="1" t="s">
        <v>77</v>
      </c>
      <c r="J11" s="13">
        <v>3</v>
      </c>
      <c r="K11" s="13">
        <v>1</v>
      </c>
      <c r="L11" s="13">
        <v>1</v>
      </c>
      <c r="M11" t="b">
        <v>1</v>
      </c>
      <c r="N11">
        <v>-3.78678571143814</v>
      </c>
      <c r="O11">
        <v>3.78678571143814</v>
      </c>
      <c r="P11">
        <v>4.8509322435159596</v>
      </c>
    </row>
    <row r="12" spans="1:16">
      <c r="A12" t="s">
        <v>80</v>
      </c>
      <c r="B12" t="s">
        <v>90</v>
      </c>
      <c r="C12" t="b">
        <v>1</v>
      </c>
      <c r="D12">
        <v>1.79256378328395E-2</v>
      </c>
      <c r="E12">
        <v>5.2308094677651405E-4</v>
      </c>
      <c r="F12">
        <v>1.7402556886062986E-2</v>
      </c>
      <c r="G12">
        <v>10.699431907475113</v>
      </c>
      <c r="I12" t="s">
        <v>81</v>
      </c>
      <c r="J12" s="13">
        <v>3</v>
      </c>
      <c r="K12" s="13">
        <v>1</v>
      </c>
      <c r="L12" s="13">
        <v>1</v>
      </c>
      <c r="M12" t="b">
        <v>1</v>
      </c>
      <c r="N12">
        <v>1.55315092025529</v>
      </c>
      <c r="O12">
        <v>1.55315092025529</v>
      </c>
      <c r="P12">
        <v>4.0978819807467302</v>
      </c>
    </row>
    <row r="13" spans="1:16">
      <c r="A13" t="s">
        <v>81</v>
      </c>
      <c r="B13" t="s">
        <v>91</v>
      </c>
      <c r="C13" t="b">
        <v>1</v>
      </c>
      <c r="D13">
        <v>4.82862746813498E-2</v>
      </c>
      <c r="E13">
        <v>2.3108030040439099E-3</v>
      </c>
      <c r="F13">
        <v>4.5975471677305889E-2</v>
      </c>
      <c r="G13">
        <v>24.429655981388812</v>
      </c>
      <c r="I13" s="1" t="s">
        <v>75</v>
      </c>
      <c r="J13" s="13">
        <v>2</v>
      </c>
      <c r="K13" s="13">
        <v>1</v>
      </c>
      <c r="L13" s="13">
        <v>0</v>
      </c>
      <c r="M13" t="b">
        <v>1</v>
      </c>
      <c r="N13">
        <v>19.099201189921999</v>
      </c>
      <c r="O13">
        <v>19.099201189921999</v>
      </c>
      <c r="P13">
        <v>4.3986454016638401</v>
      </c>
    </row>
    <row r="19" spans="1:5">
      <c r="A19" s="1" t="s">
        <v>37</v>
      </c>
    </row>
    <row r="20" spans="1:5">
      <c r="A20" s="1" t="s">
        <v>93</v>
      </c>
      <c r="B20" s="1"/>
      <c r="C20" s="1"/>
    </row>
    <row r="21" spans="1:5">
      <c r="A21" s="1" t="s">
        <v>39</v>
      </c>
      <c r="B21" s="1" t="s">
        <v>40</v>
      </c>
      <c r="C21" s="1" t="s">
        <v>64</v>
      </c>
      <c r="D21" s="1" t="s">
        <v>68</v>
      </c>
      <c r="E21" s="1" t="s">
        <v>60</v>
      </c>
    </row>
    <row r="22" spans="1:5">
      <c r="A22" t="s">
        <v>41</v>
      </c>
      <c r="C22" t="s">
        <v>44</v>
      </c>
      <c r="D22" s="1"/>
      <c r="E22" t="s">
        <v>61</v>
      </c>
    </row>
    <row r="23" spans="1:5">
      <c r="A23" t="s">
        <v>43</v>
      </c>
      <c r="C23" t="s">
        <v>44</v>
      </c>
      <c r="E23" t="s">
        <v>61</v>
      </c>
    </row>
    <row r="24" spans="1:5">
      <c r="A24" t="s">
        <v>45</v>
      </c>
      <c r="C24" t="s">
        <v>44</v>
      </c>
      <c r="E24" t="s">
        <v>61</v>
      </c>
    </row>
    <row r="25" spans="1:5">
      <c r="A25" t="s">
        <v>46</v>
      </c>
      <c r="C25" t="s">
        <v>44</v>
      </c>
      <c r="D25" s="1"/>
      <c r="E25" t="s">
        <v>61</v>
      </c>
    </row>
    <row r="26" spans="1:5">
      <c r="A26" t="s">
        <v>16</v>
      </c>
      <c r="C26" t="s">
        <v>44</v>
      </c>
      <c r="D26" s="1"/>
      <c r="E26" t="s">
        <v>61</v>
      </c>
    </row>
    <row r="27" spans="1:5">
      <c r="A27" t="s">
        <v>48</v>
      </c>
      <c r="B27" t="s">
        <v>44</v>
      </c>
      <c r="C27" t="s">
        <v>44</v>
      </c>
      <c r="D27" s="16" t="s">
        <v>70</v>
      </c>
      <c r="E27" t="s">
        <v>61</v>
      </c>
    </row>
    <row r="28" spans="1:5">
      <c r="A28" t="s">
        <v>14</v>
      </c>
      <c r="B28" t="s">
        <v>59</v>
      </c>
      <c r="C28" t="s">
        <v>59</v>
      </c>
      <c r="D28" s="16" t="s">
        <v>70</v>
      </c>
      <c r="E28" t="s">
        <v>61</v>
      </c>
    </row>
    <row r="29" spans="1:5">
      <c r="A29" t="s">
        <v>50</v>
      </c>
      <c r="B29" t="s">
        <v>59</v>
      </c>
      <c r="C29" t="s">
        <v>59</v>
      </c>
      <c r="D29" s="16" t="s">
        <v>70</v>
      </c>
      <c r="E29" t="s">
        <v>61</v>
      </c>
    </row>
    <row r="30" spans="1:5">
      <c r="A30" s="15" t="s">
        <v>51</v>
      </c>
      <c r="B30" t="s">
        <v>59</v>
      </c>
      <c r="C30" t="s">
        <v>59</v>
      </c>
      <c r="D30" s="16" t="s">
        <v>70</v>
      </c>
      <c r="E30" t="s">
        <v>61</v>
      </c>
    </row>
    <row r="31" spans="1:5">
      <c r="A31" t="s">
        <v>52</v>
      </c>
      <c r="B31" t="s">
        <v>49</v>
      </c>
      <c r="C31" t="s">
        <v>49</v>
      </c>
      <c r="D31" s="16" t="s">
        <v>70</v>
      </c>
      <c r="E31" t="s">
        <v>61</v>
      </c>
    </row>
    <row r="32" spans="1:5">
      <c r="A32" t="s">
        <v>53</v>
      </c>
      <c r="B32" t="s">
        <v>42</v>
      </c>
      <c r="C32" t="s">
        <v>49</v>
      </c>
      <c r="D32" s="16" t="s">
        <v>69</v>
      </c>
      <c r="E32" t="s">
        <v>61</v>
      </c>
    </row>
    <row r="33" spans="1:5">
      <c r="A33" t="s">
        <v>54</v>
      </c>
      <c r="B33" t="s">
        <v>42</v>
      </c>
      <c r="C33" t="s">
        <v>42</v>
      </c>
      <c r="D33" s="16" t="s">
        <v>70</v>
      </c>
      <c r="E33" t="s">
        <v>61</v>
      </c>
    </row>
    <row r="34" spans="1:5">
      <c r="A34" t="s">
        <v>55</v>
      </c>
      <c r="B34" t="s">
        <v>49</v>
      </c>
      <c r="C34" t="s">
        <v>49</v>
      </c>
      <c r="D34" s="16" t="s">
        <v>70</v>
      </c>
      <c r="E34" t="s">
        <v>61</v>
      </c>
    </row>
    <row r="35" spans="1:5">
      <c r="A35" t="s">
        <v>56</v>
      </c>
      <c r="B35" t="s">
        <v>42</v>
      </c>
      <c r="C35" t="s">
        <v>44</v>
      </c>
      <c r="D35" s="16" t="s">
        <v>69</v>
      </c>
      <c r="E35" t="s">
        <v>61</v>
      </c>
    </row>
    <row r="36" spans="1:5">
      <c r="A36" t="s">
        <v>57</v>
      </c>
      <c r="B36" t="s">
        <v>49</v>
      </c>
      <c r="C36" t="s">
        <v>49</v>
      </c>
      <c r="D36" s="16" t="s">
        <v>70</v>
      </c>
      <c r="E36" t="s">
        <v>61</v>
      </c>
    </row>
    <row r="37" spans="1:5">
      <c r="A37" t="s">
        <v>58</v>
      </c>
      <c r="B37" t="s">
        <v>44</v>
      </c>
      <c r="C37" t="s">
        <v>49</v>
      </c>
      <c r="D37" s="16" t="s">
        <v>69</v>
      </c>
      <c r="E37" t="s">
        <v>61</v>
      </c>
    </row>
    <row r="38" spans="1:5">
      <c r="A38" t="s">
        <v>65</v>
      </c>
      <c r="B38" t="s">
        <v>49</v>
      </c>
      <c r="C38" t="s">
        <v>49</v>
      </c>
      <c r="D38" s="16" t="s">
        <v>70</v>
      </c>
      <c r="E38" t="s">
        <v>61</v>
      </c>
    </row>
    <row r="39" spans="1:5">
      <c r="A39" t="s">
        <v>94</v>
      </c>
      <c r="B39" t="s">
        <v>44</v>
      </c>
      <c r="C39" t="s">
        <v>44</v>
      </c>
      <c r="D39" s="16" t="s">
        <v>70</v>
      </c>
      <c r="E39" t="s">
        <v>61</v>
      </c>
    </row>
    <row r="40" spans="1:5">
      <c r="A40" t="s">
        <v>67</v>
      </c>
      <c r="B40" t="s">
        <v>49</v>
      </c>
      <c r="C40" t="s">
        <v>44</v>
      </c>
      <c r="D40" s="16" t="s">
        <v>69</v>
      </c>
      <c r="E40" t="s">
        <v>61</v>
      </c>
    </row>
  </sheetData>
  <sortState xmlns:xlrd2="http://schemas.microsoft.com/office/spreadsheetml/2017/richdata2" ref="I4:P13">
    <sortCondition ref="M4:M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by_timepoint_3d</vt:lpstr>
      <vt:lpstr>by_timepoint_5d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Nobrega</dc:creator>
  <cp:lastModifiedBy>Celeste Nobrega</cp:lastModifiedBy>
  <dcterms:created xsi:type="dcterms:W3CDTF">2026-10-01T13:22:14Z</dcterms:created>
  <dcterms:modified xsi:type="dcterms:W3CDTF">2026-10-01T16:54:56Z</dcterms:modified>
</cp:coreProperties>
</file>